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· Genel Bakış" sheetId="1" state="visible" r:id="rId3"/>
    <sheet name="02 · Teknoloji Kararları" sheetId="2" state="visible" r:id="rId4"/>
    <sheet name="03 · LTS &amp; Destek" sheetId="3" state="visible" r:id="rId5"/>
    <sheet name="04 · Yol Haritası" sheetId="4" state="visible" r:id="rId6"/>
    <sheet name="05 · Efor Dağılımı" sheetId="5" state="visible" r:id="rId7"/>
    <sheet name="06 · Yeni Özellikler" sheetId="6" state="visible" r:id="rId8"/>
    <sheet name="07 · Riskler &amp; Rollbac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<sst xmlns="http://schemas.openxmlformats.org/spreadsheetml/2006/main" count="493" uniqueCount="323">
  <si>
    <t xml:space="preserve">ZEUS PLATFORM 2.0.0 — FRAMEWORK YÜKSELTME YOL HARİTASI</t>
  </si>
  <si>
    <t xml:space="preserve">Java 25 · Spring Boot 4.0.7 · WildFly 41 (EE 11) — hazırlanma: Temmuz 2026 · sahip: Platform Ekibi (zeus-fw)</t>
  </si>
  <si>
    <t xml:space="preserve">Program</t>
  </si>
  <si>
    <t xml:space="preserve">Zeus Framework 1.x → 2.0.0 — geriye uyumsuz (breaking) platform sürümü: uygulamalarda pom değişikliği zorunlu — + tüketici uygulamaların geçişi</t>
  </si>
  <si>
    <t xml:space="preserve">Kapsam</t>
  </si>
  <si>
    <t xml:space="preserve">zeus-fw (BOM/parent/modüller/paylaşımlı WildFly module) + spring-wildfly-arch (referans uygulama) + diğer N uygulama</t>
  </si>
  <si>
    <t xml:space="preserve">Hedef Stack</t>
  </si>
  <si>
    <t xml:space="preserve">Java 25 (LTS) · Spring Boot 4.0.7 · Spring Framework 7.0 · Hibernate ORM 7.2 · WildFly 41 (Jakarta EE 11, Servlet 6.1)</t>
  </si>
  <si>
    <t xml:space="preserve">Mevcut Durum</t>
  </si>
  <si>
    <t xml:space="preserve">Platform (zeus-fw 2.0.0) ve referans uygulama geçişi TAMAMLANDI; smoke test 9/9 (jdbc + jpa). zeus-ai-mcp MCP SERVER'ı da tamamlandı (2026-10-03): ince WAR 109 KB, paylaşımlı module 189 jar, guard süiti 17/17.</t>
  </si>
  <si>
    <t xml:space="preserve">Rollback</t>
  </si>
  <si>
    <t xml:space="preserve">WildFly 27 kurulumu ve config aynen yerinde — rollback = WF27'yi başlatmak + zeus-parent 1.0.0'a dönmek</t>
  </si>
  <si>
    <t xml:space="preserve">Sıradaki Adımlar</t>
  </si>
  <si>
    <t xml:space="preserve">Diğer uygulamaların zeus 2.x geçişi (2026-Q3/Q4) · zeus-ai-mcp: MCP CLIENT desteği (2027-Q1) ve tool bazlı yetkilendirme (zeus-security'ye bağlı) · WF27 decommission (2027-Q1)</t>
  </si>
  <si>
    <t xml:space="preserve">Toplam Efor</t>
  </si>
  <si>
    <t xml:space="preserve">Tamamlanan: 32 AG · Planlanan: 20 AG · Genel: 52 AG (AG = adam-gün; rakamlar '05 · Efor Dağılımı' sayfasındaki SUMIF toplamlarından gelir)</t>
  </si>
  <si>
    <t xml:space="preserve">STACK DEĞİŞİMİ (Eski → Yeni)</t>
  </si>
  <si>
    <t xml:space="preserve">Bileşen</t>
  </si>
  <si>
    <t xml:space="preserve">Eski (zeus 1.x)</t>
  </si>
  <si>
    <t xml:space="preserve">Yeni (zeus 2.x)</t>
  </si>
  <si>
    <t xml:space="preserve">Değişim Tipi</t>
  </si>
  <si>
    <t xml:space="preserve">Uygulamaya Etkisi</t>
  </si>
  <si>
    <t xml:space="preserve">Not</t>
  </si>
  <si>
    <t xml:space="preserve">Java (JDK)</t>
  </si>
  <si>
    <t xml:space="preserve">17 (LTS)</t>
  </si>
  <si>
    <t xml:space="preserve">25 (LTS)</t>
  </si>
  <si>
    <t xml:space="preserve">2 LTS atlama</t>
  </si>
  <si>
    <t xml:space="preserve">Kaynak kodda sıfır değişiklik</t>
  </si>
  <si>
    <t xml:space="preserve">Homebrew openjdk@25; WF41 SE 25 destekler</t>
  </si>
  <si>
    <t xml:space="preserve">Spring Boot</t>
  </si>
  <si>
    <t xml:space="preserve">3.1.3 (EOL)</t>
  </si>
  <si>
    <t xml:space="preserve">4.0.7</t>
  </si>
  <si>
    <t xml:space="preserve">Major</t>
  </si>
  <si>
    <t xml:space="preserve">Starter adı: web → webmvc</t>
  </si>
  <si>
    <t xml:space="preserve">Boot 4 starter modülerleşmesi</t>
  </si>
  <si>
    <t xml:space="preserve">Spring Framework</t>
  </si>
  <si>
    <t xml:space="preserve">6.0.11</t>
  </si>
  <si>
    <t xml:space="preserve">7.0.8</t>
  </si>
  <si>
    <t xml:space="preserve">Yok — BOM yönetir</t>
  </si>
  <si>
    <t xml:space="preserve">Kök pom'daki sürüm pini kaldırıldı</t>
  </si>
  <si>
    <t xml:space="preserve">Hibernate ORM</t>
  </si>
  <si>
    <t xml:space="preserve">6.2</t>
  </si>
  <si>
    <t xml:space="preserve">7.2.19</t>
  </si>
  <si>
    <t xml:space="preserve">JTA platform / dialect property'leri SİLİNDİ (otomatik)</t>
  </si>
  <si>
    <t xml:space="preserve">SpringJtaPlatform WildFly'da otomatik bağlanır</t>
  </si>
  <si>
    <t xml:space="preserve">WildFly</t>
  </si>
  <si>
    <t xml:space="preserve">27 (EE 10)</t>
  </si>
  <si>
    <t xml:space="preserve">41 (EE 11)</t>
  </si>
  <si>
    <t xml:space="preserve">14 sürüm</t>
  </si>
  <si>
    <t xml:space="preserve">standalone.xml taşınmadı; temiz kurulum</t>
  </si>
  <si>
    <t xml:space="preserve">WF27 rollback için duruyor</t>
  </si>
  <si>
    <t xml:space="preserve">springdoc-openapi</t>
  </si>
  <si>
    <t xml:space="preserve">2.2.0</t>
  </si>
  <si>
    <t xml:space="preserve">3.0.3</t>
  </si>
  <si>
    <t xml:space="preserve">2.x Boot 4 ile çalışmaz</t>
  </si>
  <si>
    <t xml:space="preserve">Oracle JDBC</t>
  </si>
  <si>
    <t xml:space="preserve">ojdbc11</t>
  </si>
  <si>
    <t xml:space="preserve">ojdbc17 (23.9)</t>
  </si>
  <si>
    <t xml:space="preserve">Sürücü satırı</t>
  </si>
  <si>
    <t xml:space="preserve">pom'da artifact adı değişir (provided)</t>
  </si>
  <si>
    <t xml:space="preserve">JDK 17–25 uyumlu satır</t>
  </si>
  <si>
    <t xml:space="preserve">Jackson</t>
  </si>
  <si>
    <t xml:space="preserve">2.x</t>
  </si>
  <si>
    <t xml:space="preserve">2.21 + 3.1 birlikte</t>
  </si>
  <si>
    <t xml:space="preserve">Çift nesil</t>
  </si>
  <si>
    <t xml:space="preserve">Yok — paket adları farklı, çakışma yok</t>
  </si>
  <si>
    <t xml:space="preserve">springdoc Jackson 2, Boot 4 Jackson 3 kullanır</t>
  </si>
  <si>
    <t xml:space="preserve">TEKNOLOJİ KARARLARI — NEDEN BU SÜRÜMLER?</t>
  </si>
  <si>
    <t xml:space="preserve">Her karar: gerekçe, değerlendirilen alternatifler ve yükseltilmeme riski</t>
  </si>
  <si>
    <t xml:space="preserve">Seçilen</t>
  </si>
  <si>
    <t xml:space="preserve">Neden Bu Sürüm?</t>
  </si>
  <si>
    <t xml:space="preserve">Değerlendirilen Alternatifler</t>
  </si>
  <si>
    <t xml:space="preserve">Yükseltilmezse Risk</t>
  </si>
  <si>
    <t xml:space="preserve">Karar Durumu</t>
  </si>
  <si>
    <t xml:space="preserve">Java</t>
  </si>
  <si>
    <t xml:space="preserve">Eylül 2025 LTS'i; Java 17'nin ücretsiz/premier destek penceresi daralıyor (Eylül 2026). Virtual thread'ler olgun, compact object headers &amp; generational ZGC ile bellek/GC kazanımı. Boot 4 baseline'ı (Java 17+) fazlasıyla karşılar; bir sonraki LTS beklenmeden en güncel LTS'e geçildi.</t>
  </si>
  <si>
    <t xml:space="preserve">Java 21 LTS (bir önceki LTS — destek penceresi daha kısa) · Java 17'de kalmak (EOL yaklaşıyor)</t>
  </si>
  <si>
    <t xml:space="preserve">Java 17 premier desteği Eyl 2026'da bitiyor → CVE yaması alınamaz; yeni kütüphane satırları 21+ istemeye başladı</t>
  </si>
  <si>
    <t xml:space="preserve">Tamamlandı</t>
  </si>
  <si>
    <t xml:space="preserve">3.1.3 satırı EOL — bilinen-yamasız transitive CVE seti taşınıyordu (G-1 riski). Boot 4 = Framework 7 + Hibernate 7 + Jackson 3: desteklenen en güncel major satır. 4.0.7 patch seviyesi = ilk sürüm sancıları geçmiş, olgunlaşmış 4.0.x. Properties-migrator raporu temiz; kaynak kodda sıfır değişiklikle geçildi.</t>
  </si>
  <si>
    <t xml:space="preserve">Boot 3.5.x'e ara geçiş (ikinci bir major migrasyonu ertelemek demekti) · 3.1'de kalmak (EOL)</t>
  </si>
  <si>
    <t xml:space="preserve">EOL satırda CVE çaresizliği sürer; her yeni kütüphane Boot 4 hedefledikçe uyumsuzluk birikir</t>
  </si>
  <si>
    <t xml:space="preserve">Boot 4 / Servlet 6.1 için EE 11 runtime gerekir — WF27 (EE 10) yetersiz. WF41 JDK 25'i resmi destekler; topluluk modelinde yalnızca güncel major yama alır. 14 sürümlük sıçrama tek seferde alındı, standalone.xml taşınmadı (temiz kurulum + jboss-cli ile DS tanımı).</t>
  </si>
  <si>
    <t xml:space="preserve">WF35-40 ara sürümleri (aynı efor, daha kısa raf ömrü) · JBoss EAP 8.x (ticari; şimdilik gerekmedi)</t>
  </si>
  <si>
    <t xml:space="preserve">EE 10'da Boot 4 deploy edilemez; WF27 için topluluk yaması yok</t>
  </si>
  <si>
    <t xml:space="preserve">Boot 4 ile uyumlu tek satır — 2.x Boot 4'te ÇALIŞMAZ. BOM'dan yönetilir, uygulamalar sürüm yazmaz.</t>
  </si>
  <si>
    <t xml:space="preserve">Yok (zorunlu eşleşme)</t>
  </si>
  <si>
    <t xml:space="preserve">Swagger UI / api-docs kırılır</t>
  </si>
  <si>
    <t xml:space="preserve">ojdbc17 23.9</t>
  </si>
  <si>
    <t xml:space="preserve">JDK 17–25 uyumlu sürücü satırı; ojdbc11 JDK 25 için sertifikasyon dışı. WildFly module adı (com.oracle.ojdbc) korunarak uygulama wiring'i değişmedi.</t>
  </si>
  <si>
    <t xml:space="preserve">ojdbc11'de kalmak (JDK 25'te desteklenmez)</t>
  </si>
  <si>
    <t xml:space="preserve">Sürücü kaynaklı davranış/performans sorunlarında vendor desteği alınamaz</t>
  </si>
  <si>
    <t xml:space="preserve">Spring AI + MCP</t>
  </si>
  <si>
    <t xml:space="preserve">2.0.x (BOM)</t>
  </si>
  <si>
    <t xml:space="preserve">UYGULANDI (server, 2026-10-03): zeus-ai-mcp modülü — uygulamaların MEVCUT @Tool metotlarını MCP (Model Context Protocol) üzerinden AI ajanlarına açar; şema dönüşümü Spring AI'ın ToolCallbackConverter'ı ile, yeni anotasyon icat edilmedi. Spring AI 2.0 (Haz 2026 GA) Boot 4.0 GEREKTİRİR — stack'imizle birebir hizalı; 1.x satırı Boot 3 içindir ve kullanılamaz. BOM'a spring-ai-bom 2.0.1 eklendi. KALAN: MCP client tüketimi (2027-Q1).</t>
  </si>
  <si>
    <t xml:space="preserve">Elle MCP SDK entegrasyonu (starter'sız — bakım maliyeti yüksek) · LangChain4j (Spring ekosistem dışı)</t>
  </si>
  <si>
    <t xml:space="preserve">AI ajan entegrasyonu her uygulamada ad-hoc çözülür; standart platform yeteneği oluşmaz</t>
  </si>
  <si>
    <t xml:space="preserve">LTS DURUMU &amp; DESTEK TAKVİMİ</t>
  </si>
  <si>
    <t xml:space="preserve">≈ işaretli tarihler upstream destek politikalarından projeksiyondur — çeyrek bazında teyit edilmeli</t>
  </si>
  <si>
    <t xml:space="preserve">Teknoloji</t>
  </si>
  <si>
    <t xml:space="preserve">Sürüm</t>
  </si>
  <si>
    <t xml:space="preserve">GA Tarihi</t>
  </si>
  <si>
    <t xml:space="preserve">LTS?</t>
  </si>
  <si>
    <t xml:space="preserve">OSS / Topluluk Destek Sonu</t>
  </si>
  <si>
    <t xml:space="preserve">Ticari / Uzatılmış Destek Sonu</t>
  </si>
  <si>
    <t xml:space="preserve">Java (Oracle/OpenJDK)</t>
  </si>
  <si>
    <t xml:space="preserve">25</t>
  </si>
  <si>
    <t xml:space="preserve">Eyl 2025</t>
  </si>
  <si>
    <t xml:space="preserve">Evet (LTS)</t>
  </si>
  <si>
    <t xml:space="preserve">Eyl 2030 (Premier)</t>
  </si>
  <si>
    <t xml:space="preserve">Eyl 2033 (Extended)</t>
  </si>
  <si>
    <t xml:space="preserve">Seçilen baseline. Temurin/Corretto gibi dağıtımlar da LTS penceresi sunar</t>
  </si>
  <si>
    <t xml:space="preserve">Java (eski baseline)</t>
  </si>
  <si>
    <t xml:space="preserve">17</t>
  </si>
  <si>
    <t xml:space="preserve">Eyl 2021</t>
  </si>
  <si>
    <t xml:space="preserve">Eyl 2026 (Premier)</t>
  </si>
  <si>
    <t xml:space="preserve">Eyl 2029 (Extended)</t>
  </si>
  <si>
    <t xml:space="preserve">Premier bitişine ~2 ay kala terk edildi — yükseltmenin ana tetikleyicilerinden</t>
  </si>
  <si>
    <t xml:space="preserve">4.0.x</t>
  </si>
  <si>
    <t xml:space="preserve">Kas 2025</t>
  </si>
  <si>
    <t xml:space="preserve">Hayır</t>
  </si>
  <si>
    <t xml:space="preserve">≈ Ara 2026 (OSS)</t>
  </si>
  <si>
    <t xml:space="preserve">≈ Ara 2028 (Enterprise)</t>
  </si>
  <si>
    <t xml:space="preserve">Spring politikası: her minor ~13 ay OSS; 4.1'e geçiş minor efor. Eski 3.1.x: OSS EOL May 2024 → terk gerekçesi</t>
  </si>
  <si>
    <t xml:space="preserve">7.0.x</t>
  </si>
  <si>
    <t xml:space="preserve">≈ 2027 (OSS)</t>
  </si>
  <si>
    <t xml:space="preserve">≈ 2029 (Enterprise)</t>
  </si>
  <si>
    <t xml:space="preserve">Boot 4.0 BOM yönetir; ayrıca takip gerektirmez</t>
  </si>
  <si>
    <t xml:space="preserve">7.2</t>
  </si>
  <si>
    <t xml:space="preserve">2025</t>
  </si>
  <si>
    <t xml:space="preserve">Aktif geliştirme satırı</t>
  </si>
  <si>
    <t xml:space="preserve">—</t>
  </si>
  <si>
    <t xml:space="preserve">Boot BOM ile gelir; JTA platformu WildFly'da otomatik</t>
  </si>
  <si>
    <t xml:space="preserve">WildFly (topluluk)</t>
  </si>
  <si>
    <t xml:space="preserve">41</t>
  </si>
  <si>
    <t xml:space="preserve">≈ Tem 2026</t>
  </si>
  <si>
    <t xml:space="preserve">Bir sonraki major çıkana dek (~3 ay döngü)</t>
  </si>
  <si>
    <t xml:space="preserve">Topluluk modeli: yalnız güncel major yama alır → yılda 1–2 WF yükseltmesi planla veya EAP değerlendir</t>
  </si>
  <si>
    <t xml:space="preserve">JBoss EAP (kıyas)</t>
  </si>
  <si>
    <t xml:space="preserve">8.x</t>
  </si>
  <si>
    <t xml:space="preserve">2024</t>
  </si>
  <si>
    <t xml:space="preserve">2030+ (Red Hat aboneliği)</t>
  </si>
  <si>
    <t xml:space="preserve">Uzun destek gerekirse ticari alternatif; WF41 config'i EAP'a taşınabilir</t>
  </si>
  <si>
    <t xml:space="preserve">Jakarta EE</t>
  </si>
  <si>
    <t xml:space="preserve">11</t>
  </si>
  <si>
    <t xml:space="preserve">Haz 2025</t>
  </si>
  <si>
    <t xml:space="preserve">Platform sürümü (spec)</t>
  </si>
  <si>
    <t xml:space="preserve">WF41'in EE seviyesi; Servlet 6.1 Boot 4 için gerekli</t>
  </si>
  <si>
    <t xml:space="preserve">3.0.x</t>
  </si>
  <si>
    <t xml:space="preserve">Boot 4 satırıyla hizalı</t>
  </si>
  <si>
    <t xml:space="preserve">Boot major'ı ile birlikte yükselir</t>
  </si>
  <si>
    <t xml:space="preserve">Spring AI</t>
  </si>
  <si>
    <t xml:space="preserve">2.0.x</t>
  </si>
  <si>
    <t xml:space="preserve">Haz 2026</t>
  </si>
  <si>
    <t xml:space="preserve">≈ 13 ay / minor</t>
  </si>
  <si>
    <t xml:space="preserve">≈ Enterprise seçeneği</t>
  </si>
  <si>
    <t xml:space="preserve">zeus-ai-mcp için; 2.0 Boot 4 gerektirir (1.x = Boot 3 satırı). MCP starter'ları hızlı evriliyor — BOM pinleme şart</t>
  </si>
  <si>
    <t xml:space="preserve">Oracle JDBC (ojdbc17)</t>
  </si>
  <si>
    <t xml:space="preserve">23ai</t>
  </si>
  <si>
    <t xml:space="preserve">≈ 2032 (Oracle 23ai penceresi)</t>
  </si>
  <si>
    <t xml:space="preserve">23ai uzun destekli veritabanı satırının sürücüsü</t>
  </si>
  <si>
    <t xml:space="preserve">YOL HARİTASI — FAZLAR &amp; ZAMAN ÇİZELGESİ</t>
  </si>
  <si>
    <t xml:space="preserve">■ dolu hücre = fazın aktif olduğu çeyrek · yeşil = tamamlandı · mavi = planlandı · mor = yeni modül geliştirme</t>
  </si>
  <si>
    <t xml:space="preserve">Faz</t>
  </si>
  <si>
    <t xml:space="preserve">İş Kalemi</t>
  </si>
  <si>
    <t xml:space="preserve">Sahip</t>
  </si>
  <si>
    <t xml:space="preserve">Efor (AG)</t>
  </si>
  <si>
    <t xml:space="preserve">Durum</t>
  </si>
  <si>
    <t xml:space="preserve">Çıktı / Kabul Kriteri</t>
  </si>
  <si>
    <t xml:space="preserve">2026-Q3</t>
  </si>
  <si>
    <t xml:space="preserve">2026-Q4</t>
  </si>
  <si>
    <t xml:space="preserve">2027-Q1</t>
  </si>
  <si>
    <t xml:space="preserve">2027-Q2</t>
  </si>
  <si>
    <t xml:space="preserve">F0</t>
  </si>
  <si>
    <t xml:space="preserve">Analiz &amp; sürüm kararları: hedef sürüm seçimi (Java 25 / Boot 4.0.7 / WF41) + Boot 3→4'te uygulamaları etkileyecek değişikliklerin çıkarılması (starter adları, property'ler, springdoc) + zeus sürüm numarası kararı (pom değişikliği zorunlu → major, 2.0.0)</t>
  </si>
  <si>
    <t xml:space="preserve">Platform</t>
  </si>
  <si>
    <t xml:space="preserve">Karar dokümanı: zeus-fw/gelistirmeler/13 + bu Excel'in 02 sekmesi</t>
  </si>
  <si>
    <t xml:space="preserve">■</t>
  </si>
  <si>
    <t xml:space="preserve">Sonuç: geriye uyumsuz → zeus 2.0.0</t>
  </si>
  <si>
    <t xml:space="preserve">F1</t>
  </si>
  <si>
    <t xml:space="preserve">zeus-fw 2.0.0 platform yükseltmesi (BOM/parent, zeus-database autoconfig importları, zeus-wildfly-module, descriptor şablonu, install script)</t>
  </si>
  <si>
    <t xml:space="preserve">mvn install yeşil; module 78 jar; verify-module-coverage tam kapsam</t>
  </si>
  <si>
    <t xml:space="preserve">Jandex artık araç olarak Maven'dan</t>
  </si>
  <si>
    <t xml:space="preserve">F2</t>
  </si>
  <si>
    <t xml:space="preserve">Referans uygulama (spring-wildfly-arch) geçişi (parent 2.0.0, webmvc starter, ojdbc17, property temizliği)</t>
  </si>
  <si>
    <t xml:space="preserve">Uygulama</t>
  </si>
  <si>
    <t xml:space="preserve">Kaynak kodda sıfır değişiklik; properties-migrator raporu temiz; testler yeşil</t>
  </si>
  <si>
    <t xml:space="preserve">Zeus 2.x geçişinin referans örneği</t>
  </si>
  <si>
    <t xml:space="preserve">F3</t>
  </si>
  <si>
    <t xml:space="preserve">WildFly 41 ortamı (temiz kurulum, ojdbc17 module, OracleDS/ReportingDS, deploy + smoke)</t>
  </si>
  <si>
    <t xml:space="preserve">Smoke 9/9 (jdbc + jpa); server.log'da 0 ERROR/LinkageError; WF27 rollback hazır</t>
  </si>
  <si>
    <t xml:space="preserve">standalone.xml WF27'den taşınmadı</t>
  </si>
  <si>
    <t xml:space="preserve">F4</t>
  </si>
  <si>
    <t xml:space="preserve">Diğer N uygulamanın zeus 2.x'e geçişi (uygulama başına: parent + starter adı + ojdbc + property temizliği + smoke)</t>
  </si>
  <si>
    <t xml:space="preserve">Uygulama ekipleri</t>
  </si>
  <si>
    <t xml:space="preserve">Planlandı</t>
  </si>
  <si>
    <t xml:space="preserve">Her uygulama: doküman 16'daki kontrol listesi + kendi smoke geçidi</t>
  </si>
  <si>
    <t xml:space="preserve">~2-3 AG/uygulama; F2 şablon</t>
  </si>
  <si>
    <t xml:space="preserve">F5</t>
  </si>
  <si>
    <t xml:space="preserve">YENİ MODÜL: zeus-ai-mcp — Spring AI ile MCP server/client starter (tool kayıt API'si, güvenlik, module entegrasyonu)</t>
  </si>
  <si>
    <t xml:space="preserve">Devam ediyor</t>
  </si>
  <si>
    <t xml:space="preserve">Referans uygulamada PRODUCT_PKG servisleri MCP tool olarak yayında; e2e ajan testi</t>
  </si>
  <si>
    <t xml:space="preserve">Server tarafı TAMAMLANDI (2026-10-03): zeus-ai-mcp modülü, ai-mcp yeteneği, uçtan uca kanıt + 2 guard. Kalan: MCP client (2027-Q1) ve tool bazlı yetki (zeus-security). Detay: zeus-fw/gelistirmeler/23-zeus-ai-mcp.md</t>
  </si>
  <si>
    <t xml:space="preserve">F6</t>
  </si>
  <si>
    <t xml:space="preserve">Stabilizasyon &amp; WF27 decommission (benchmark yenileme, CVE taraması, eski ortam kapatma)</t>
  </si>
  <si>
    <t xml:space="preserve">WF27 kaldırıldı; benchmark raporu Boot 4 üzerinde yenilendi</t>
  </si>
  <si>
    <t xml:space="preserve">Rollback penceresi kapanır</t>
  </si>
  <si>
    <t xml:space="preserve">F7</t>
  </si>
  <si>
    <t xml:space="preserve">Sürekli: BOM/CVE governance (Boot 4.0.x patch takibi, WF çeyreklik sürüm değerlendirmesi)</t>
  </si>
  <si>
    <t xml:space="preserve">2/çeyrek</t>
  </si>
  <si>
    <t xml:space="preserve">Sürekli</t>
  </si>
  <si>
    <t xml:space="preserve">Çeyreklik sürüm/CVE raporu; BOM override'ları güncel</t>
  </si>
  <si>
    <t xml:space="preserve">WF topluluk modeli gereği zorunlu</t>
  </si>
  <si>
    <t xml:space="preserve">EFOR DAĞILIMI (ADAM-GÜN)</t>
  </si>
  <si>
    <t xml:space="preserve">Tamamlanan işler gerçekleşen efor, planlananlar tahmindir (±%30); AG = adam-gün</t>
  </si>
  <si>
    <t xml:space="preserve">Kategori</t>
  </si>
  <si>
    <t xml:space="preserve">Karmaşıklık</t>
  </si>
  <si>
    <t xml:space="preserve">Sürüm/uyumluluk analizi + karar dokümanı</t>
  </si>
  <si>
    <t xml:space="preserve">Analiz</t>
  </si>
  <si>
    <t xml:space="preserve">Orta</t>
  </si>
  <si>
    <t xml:space="preserve">Java 25 / Boot 4.0.7 / WF41 matrisi</t>
  </si>
  <si>
    <t xml:space="preserve">BOM &amp; parent yükseltme (spring-boot 4.0.7, springdoc 3.0.3, ojdbc17)</t>
  </si>
  <si>
    <t xml:space="preserve">Framework sürüm pini kaldırıldı</t>
  </si>
  <si>
    <t xml:space="preserve">zeus-database Boot 4 autoconfig uyumu (jdbc/hibernate modül importları)</t>
  </si>
  <si>
    <t xml:space="preserve">Tek kod değişikliği gereken modül</t>
  </si>
  <si>
    <t xml:space="preserve">zeus-wildfly-module + install-zeus-module.sh (webmvc, jandex aracı, jakarta.json)</t>
  </si>
  <si>
    <t xml:space="preserve">Yüksek</t>
  </si>
  <si>
    <t xml:space="preserve">78 jar; Jackson 2+3 birlikte</t>
  </si>
  <si>
    <t xml:space="preserve">zeus-war-defaults descriptor şablonu (slf4j dışlama kaldırma)</t>
  </si>
  <si>
    <t xml:space="preserve">Düşük</t>
  </si>
  <si>
    <t xml:space="preserve">WFLYSRV0274 uyarısı giderildi</t>
  </si>
  <si>
    <t xml:space="preserve">Referans uygulama pom + property geçişi</t>
  </si>
  <si>
    <t xml:space="preserve">Test &amp; doğrulama (H2, properties-migrator, lokal profil)</t>
  </si>
  <si>
    <t xml:space="preserve">Test</t>
  </si>
  <si>
    <t xml:space="preserve">Migrator raporu temiz çıkınca kaldırıldı</t>
  </si>
  <si>
    <t xml:space="preserve">WF41 temiz kurulum + admin + ojdbc17 module + datasource'lar</t>
  </si>
  <si>
    <t xml:space="preserve">Altyapı</t>
  </si>
  <si>
    <t xml:space="preserve">jboss-cli ile; WF27 dokunulmadı</t>
  </si>
  <si>
    <t xml:space="preserve">Deploy + smoke (jdbc &amp; jpa impl) + log doğrulaması</t>
  </si>
  <si>
    <t xml:space="preserve">9/9 iki impl'de de</t>
  </si>
  <si>
    <t xml:space="preserve">Uygulama geçişleri (~4-6 uygulama × 2-3 AG)</t>
  </si>
  <si>
    <t xml:space="preserve">Doküman 16 kontrol listesiyle</t>
  </si>
  <si>
    <t xml:space="preserve">zeus-ai-mcp: modül iskeleti + spring-ai-bom entegrasyonu</t>
  </si>
  <si>
    <t xml:space="preserve">Yeni Özellik</t>
  </si>
  <si>
    <t xml:space="preserve">Modül iskeleti + BOM; MCP artefaktları 2.0.1 (SDK 2.0.0 transitif, pinlenmedi)</t>
  </si>
  <si>
    <t xml:space="preserve">zeus-ai-mcp: MCP server starter (tool kayıt API'si, anotasyonla tool tanımı)</t>
  </si>
  <si>
    <t xml:space="preserve">Mevcut @Tool/@ToolParam köprülendi — yeni anotasyon icat edilmedi; 32 birim testi</t>
  </si>
  <si>
    <t xml:space="preserve">zeus-ai-mcp: güvenlik (auth, tool yetkilendirme) + WildFly module uyumu</t>
  </si>
  <si>
    <t xml:space="preserve">KISMEN: WildFly module uyumu + fail-closed paylaşılan sır + audit tamam; tool bazlı yetkilendirme ve kimlik zeus-security'ye bağlı (bilinen boşluk)</t>
  </si>
  <si>
    <t xml:space="preserve">zeus-ai-mcp: referans uygulamada PRODUCT_PKG MCP tool örneği + e2e test</t>
  </si>
  <si>
    <t xml:space="preserve">PRODUCT_PKG tool'ları /api/mcp'de yayında; e2e guard. Yüzey SALT OKUNUR — CRUD kanıtı zeus-security sonrasına</t>
  </si>
  <si>
    <t xml:space="preserve">Benchmark yenileme (doc 12 akışı, Boot 4) + CVE taraması</t>
  </si>
  <si>
    <t xml:space="preserve">jdbc vs jpa Boot 4'te</t>
  </si>
  <si>
    <t xml:space="preserve">WF27 decommission</t>
  </si>
  <si>
    <t xml:space="preserve">TAMAMLANAN TOPLAM</t>
  </si>
  <si>
    <t xml:space="preserve">PLANLANAN TOPLAM</t>
  </si>
  <si>
    <t xml:space="preserve">GENEL TOPLAM</t>
  </si>
  <si>
    <t xml:space="preserve">YENİ ÖZELLİK &amp; MODÜL BACKLOG'U</t>
  </si>
  <si>
    <t xml:space="preserve">Zeus 2.x platform yeteneği olarak geliştirilecekler. DURUM (2026-10-03): 'MCP Server Starter' ve 'Referans MCP Uygulaması' TAMAMLANDI (zeus-ai-mcp modülü yayında, detay: zeus-fw/gelistirmeler/23-zeus-ai-mcp.md); 'MCP Client Desteği' ve 'MCP Güvenlik Katmanı' (tool bazlı yetkilendirme) henüz backlog'da.</t>
  </si>
  <si>
    <t xml:space="preserve">Özellik</t>
  </si>
  <si>
    <t xml:space="preserve">Modül</t>
  </si>
  <si>
    <t xml:space="preserve">Tip</t>
  </si>
  <si>
    <t xml:space="preserve">Açıklama</t>
  </si>
  <si>
    <t xml:space="preserve">Bağımlılık / Ön Koşul</t>
  </si>
  <si>
    <t xml:space="preserve">Öncelik</t>
  </si>
  <si>
    <t xml:space="preserve">Hedef</t>
  </si>
  <si>
    <t xml:space="preserve">MCP Server Starter</t>
  </si>
  <si>
    <t xml:space="preserve">zeus-ai-mcp</t>
  </si>
  <si>
    <t xml:space="preserve">YENİ MODÜL</t>
  </si>
  <si>
    <t xml:space="preserve">Spring AI'ın MCP server starter'ı üzerine zeus katmanı: uygulama servislerini (ör. ProductService) anotasyonla MCP tool olarak yayınlama; tool şeması otomatik üretim; GlobalExceptionHandler ile hata haritalama. AI ajanları (Claude vb.) kurumsal servisleri MCP üzerinden güvenle çağırır.</t>
  </si>
  <si>
    <t xml:space="preserve">spring-ai-bom 2.0.x (Boot 4 gerektirir) · zeus-base</t>
  </si>
  <si>
    <t xml:space="preserve">P1</t>
  </si>
  <si>
    <t xml:space="preserve">MCP Client Desteği</t>
  </si>
  <si>
    <t xml:space="preserve">Uygulamaların dış MCP server'ları (kurumsal araçlar, veri kaynakları) tüketebilmesi için yapılandırma-tabanlı client starter'ı; bağlantı havuzu + timeout/retry varsayılanları zeus konvansiyonlarıyla.</t>
  </si>
  <si>
    <t xml:space="preserve">MCP server starter iskeleti</t>
  </si>
  <si>
    <t xml:space="preserve">P2</t>
  </si>
  <si>
    <t xml:space="preserve">MCP Güvenlik Katmanı</t>
  </si>
  <si>
    <t xml:space="preserve">Tool bazlı yetkilendirme (hangi ajan hangi tool'u çağırabilir), audit log (RequestLoggingFilter genişletmesi), rate limiting. İnce WAR + com.zeus module mimarisine uyum (spring-ai jar'ları paylaşımlı module'e girer).</t>
  </si>
  <si>
    <t xml:space="preserve">zeus-logger · install-zeus-module.sh güncellemesi</t>
  </si>
  <si>
    <t xml:space="preserve">Referans MCP Uygulaması</t>
  </si>
  <si>
    <t xml:space="preserve">spring-wildfly-arch</t>
  </si>
  <si>
    <t xml:space="preserve">Örnek</t>
  </si>
  <si>
    <t xml:space="preserve">PRODUCT_PKG stored procedure servislerinin MCP tool olarak dışa açılması — zeus-ai-mcp'nin kanıt uygulaması; e2e senaryo: AI ajanı üzerinden ürün CRUD.</t>
  </si>
  <si>
    <t xml:space="preserve">zeus-ai-mcp P1 kalemleri</t>
  </si>
  <si>
    <t xml:space="preserve">Virtual Threads Pilotu</t>
  </si>
  <si>
    <t xml:space="preserve">zeus-base</t>
  </si>
  <si>
    <t xml:space="preserve">İyileştirme</t>
  </si>
  <si>
    <t xml:space="preserve">Java 25 virtual thread'lerinin MVC executor'ında pilotlanması (spring.threads.virtual.enabled); JDBC havuzu (JNDI DS) ile pinning analizi; benchmark doc 12 akışıyla ölçüm.</t>
  </si>
  <si>
    <t xml:space="preserve">F6 benchmark altyapısı</t>
  </si>
  <si>
    <t xml:space="preserve">P3</t>
  </si>
  <si>
    <t xml:space="preserve">Null-Safety (JSpecify)</t>
  </si>
  <si>
    <t xml:space="preserve">Spring Framework 7 ile gelen JSpecify anotasyonlarının (@Nullable/@NonNull) zeus modüllerinin dışa açılan sınıf ve metot imzalarına eklenmesi. Kazanım: tüketici uygulamalar null hatasını çalışma zamanında NPE olarak değil, derleme sırasında IDE/derleyici uyarısı olarak yakalar.</t>
  </si>
  <si>
    <t xml:space="preserve">Zeus 2.1 minor planı</t>
  </si>
  <si>
    <t xml:space="preserve">API Versiyonlama Konvansiyonu</t>
  </si>
  <si>
    <t xml:space="preserve">Spring Framework 7'nin yerleşik API versioning özelliği için zeus genelinde tek bir standart belirlenmesi (header mi path mi, springdoc entegrasyonu) — her uygulama kendi yöntemini icat etmesin.</t>
  </si>
  <si>
    <t xml:space="preserve">RİSK KAYDI &amp; ROLLBACK STRATEJİSİ</t>
  </si>
  <si>
    <t xml:space="preserve">Olasılık × Etki değerlendirmesi; her riskin azaltımı ve geri dönüş yolu tanımlı</t>
  </si>
  <si>
    <t xml:space="preserve">Risk</t>
  </si>
  <si>
    <t xml:space="preserve">Olasılık</t>
  </si>
  <si>
    <t xml:space="preserve">Etki</t>
  </si>
  <si>
    <t xml:space="preserve">Azaltım</t>
  </si>
  <si>
    <t xml:space="preserve">Rollback / B Planı</t>
  </si>
  <si>
    <t xml:space="preserve">WildFly topluluk modeli: WF41 bir sonraki major çıkınca yama almaz (LTS yok)</t>
  </si>
  <si>
    <t xml:space="preserve">F7 sürekli faz: çeyreklik WF sürüm değerlendirmesi; module mimarisi sayesinde WF yükseltmesi uygulamalardan bağımsız</t>
  </si>
  <si>
    <t xml:space="preserve">Uzun destek ihtiyacı doğarsa JBoss EAP 8.x'e geçiş (config birebir taşınabilir)</t>
  </si>
  <si>
    <t xml:space="preserve">Boot 4.0.x satırı görece yeni — regresyon/davranış değişikliği ihtimali</t>
  </si>
  <si>
    <t xml:space="preserve">4.0.7 patch seviyesi seçildi; smoke 9/9 geçidi her deploy'da; properties-migrator temiz</t>
  </si>
  <si>
    <t xml:space="preserve">WF27 + zeus-parent 1.0.0 rollback'i F6'ya kadar hazır</t>
  </si>
  <si>
    <t xml:space="preserve">Jackson 2 + 3 birlikte yaşamı: yeni bir bağımlılık yanlış nesle bağlanabilir</t>
  </si>
  <si>
    <t xml:space="preserve">Paket adları ayrık (com.fasterxml vs tools.jackson) — çakışma yapısal olarak yok; verify-module-coverage her module üretiminde</t>
  </si>
  <si>
    <t xml:space="preserve">BOM'da nesil pinleme; sorunlu bağımlılığı module'den dışlama</t>
  </si>
  <si>
    <t xml:space="preserve">module.xml değişikliklerinde restart unutulması (module cache)</t>
  </si>
  <si>
    <t xml:space="preserve">Kural CLAUDE.md + doc 08'de; install script sonrası restart hatırlatması</t>
  </si>
  <si>
    <t xml:space="preserve">Belirti (NoClassDef) görülürse WildFly restart</t>
  </si>
  <si>
    <t xml:space="preserve">Spring AI / MCP API'lerinin hızlı evrimi (zeus-ai-mcp planını etkiler)</t>
  </si>
  <si>
    <t xml:space="preserve">BOM'da spring-ai sürüm pinleme; uygulama kodu Spring AI API'sini doğrudan değil zeus-ai-mcp üzerinden kullanır — Spring AI'da API değişirse yalnız zeus modülü güncellenir</t>
  </si>
  <si>
    <t xml:space="preserve">Modül 2026-Q4'te API stabilite değerlendirmesiyle başlar; gerekirse hedef 2027-Q1'e kayar</t>
  </si>
  <si>
    <t xml:space="preserve">N uygulama geçişinin koordinasyonu (zeus 1.x/2.x çift sürüm dönemi)</t>
  </si>
  <si>
    <t xml:space="preserve">Referans geçiş dokümanı (doc 16) + uygulama başına kontrol listesi; paylaşımlı module slot'lu (zeus.module.slot) — iki sürüm yan yana yaşayabilir</t>
  </si>
  <si>
    <t xml:space="preserve">Geciken uygulama zeus 1.x'te kalır; WF27 decommission (F6) tüm geçişler bitene dek ertelenir</t>
  </si>
  <si>
    <t xml:space="preserve">ojdbc17 + Hibernate 7 kombinasyonunda Oracle'a özgü uç durumlar</t>
  </si>
  <si>
    <t xml:space="preserve">REF CURSOR / stored procedure akışları smoke'ta iki impl'le (jdbc+jpa) test ediliyor</t>
  </si>
  <si>
    <t xml:space="preserve">Sürücüde regresyon çıkarsa BOM'dan önceki 23.x patch'ine pinleme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</si>
</sst>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i val="true"/>
      <sz val="9"/>
      <color rgb="FF64748B"/>
      <name val="Cambria"/>
      <family val="0"/>
      <charset val="1"/>
    </font>
    <font>
      <b val="true"/>
      <sz val="10"/>
      <color rgb="FF1E40AF"/>
      <name val="Cambria"/>
      <family val="0"/>
      <charset val="1"/>
    </font>
    <font>
      <sz val="1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color rgb="FF166534"/>
      <name val="Cambria"/>
      <family val="0"/>
      <charset val="1"/>
    </font>
    <font>
      <b val="true"/>
      <sz val="10"/>
      <color rgb="FF334155"/>
      <name val="Cambria"/>
      <family val="0"/>
      <charset val="1"/>
    </font>
    <font>
      <b val="true"/>
      <sz val="11"/>
      <color rgb="FF166534"/>
      <name val="Cambria"/>
      <family val="0"/>
      <charset val="1"/>
    </font>
    <font>
      <b val="true"/>
      <sz val="11"/>
      <color rgb="FF1E40AF"/>
      <name val="Cambria"/>
      <family val="0"/>
      <charset val="1"/>
    </font>
    <font>
      <b val="true"/>
      <sz val="11"/>
      <color rgb="FF5B21B6"/>
      <name val="Cambria"/>
      <family val="0"/>
      <charset val="1"/>
    </font>
    <font>
      <b val="true"/>
      <sz val="10"/>
      <color rgb="FF92400E"/>
      <name val="Cambria"/>
      <family val="0"/>
      <charset val="1"/>
    </font>
    <font>
      <b val="true"/>
      <sz val="10"/>
      <color rgb="FF991B1B"/>
      <name val="Cambria"/>
      <family val="0"/>
      <charset val="1"/>
    </font>
    <font>
      <b val="true"/>
      <sz val="10"/>
      <color rgb="FF5B21B6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11827"/>
        <bgColor rgb="FF1F2937"/>
      </patternFill>
    </fill>
    <fill>
      <patternFill patternType="solid">
        <fgColor rgb="FFF1F5F9"/>
        <bgColor rgb="FFF8FAFC"/>
      </patternFill>
    </fill>
    <fill>
      <patternFill patternType="solid">
        <fgColor rgb="FF2563EB"/>
        <bgColor rgb="FF0066CC"/>
      </patternFill>
    </fill>
    <fill>
      <patternFill patternType="solid">
        <fgColor rgb="FF1F2937"/>
        <bgColor rgb="FF111827"/>
      </patternFill>
    </fill>
    <fill>
      <patternFill patternType="solid">
        <fgColor rgb="FFF8FAFC"/>
        <bgColor rgb="FFFFFFFF"/>
      </patternFill>
    </fill>
    <fill>
      <patternFill patternType="solid">
        <fgColor rgb="FFDCFCE7"/>
        <bgColor rgb="FFF1F5F9"/>
      </patternFill>
    </fill>
    <fill>
      <patternFill patternType="solid">
        <fgColor rgb="FFDBEAFE"/>
        <bgColor rgb="FFE2E8F0"/>
      </patternFill>
    </fill>
    <fill>
      <patternFill patternType="solid">
        <fgColor rgb="FFEDE9FE"/>
        <bgColor rgb="FFE2E8F0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5B21B6"/>
      <rgbColor rgb="FF008080"/>
      <rgbColor rgb="FFF1F5F9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11827"/>
      <rgbColor rgb="FF334155"/>
      <rgbColor rgb="FF92400E"/>
      <rgbColor rgb="FF993366"/>
      <rgbColor rgb="FF1E40AF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34"/>
    <col collapsed="false" customWidth="true" hidden="false" outlineLevel="0" max="6" min="6" style="1" width="30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5" t="s">
        <v>3</v>
      </c>
      <c r="C4" s="5"/>
      <c r="D4" s="5"/>
      <c r="E4" s="5"/>
      <c r="F4" s="5"/>
    </row>
    <row r="5" customFormat="false" ht="30" hidden="false" customHeight="true" outlineLevel="0" collapsed="false">
      <c r="A5" s="4" t="s">
        <v>4</v>
      </c>
      <c r="B5" s="5" t="s">
        <v>5</v>
      </c>
      <c r="C5" s="5"/>
      <c r="D5" s="5"/>
      <c r="E5" s="5"/>
      <c r="F5" s="5"/>
    </row>
    <row r="6" customFormat="false" ht="30" hidden="false" customHeight="true" outlineLevel="0" collapsed="false">
      <c r="A6" s="4" t="s">
        <v>6</v>
      </c>
      <c r="B6" s="5" t="s">
        <v>7</v>
      </c>
      <c r="C6" s="5"/>
      <c r="D6" s="5"/>
      <c r="E6" s="5"/>
      <c r="F6" s="5"/>
    </row>
    <row r="7" customFormat="false" ht="30" hidden="false" customHeight="true" outlineLevel="0" collapsed="false">
      <c r="A7" s="4" t="s">
        <v>8</v>
      </c>
      <c r="B7" s="5" t="s">
        <v>9</v>
      </c>
      <c r="C7" s="5"/>
      <c r="D7" s="5"/>
      <c r="E7" s="5"/>
      <c r="F7" s="5"/>
    </row>
    <row r="8" customFormat="false" ht="30" hidden="false" customHeight="true" outlineLevel="0" collapsed="false">
      <c r="A8" s="4" t="s">
        <v>10</v>
      </c>
      <c r="B8" s="5" t="s">
        <v>11</v>
      </c>
      <c r="C8" s="5"/>
      <c r="D8" s="5"/>
      <c r="E8" s="5"/>
      <c r="F8" s="5"/>
    </row>
    <row r="9" customFormat="false" ht="30" hidden="false" customHeight="true" outlineLevel="0" collapsed="false">
      <c r="A9" s="4" t="s">
        <v>12</v>
      </c>
      <c r="B9" s="5" t="s">
        <v>13</v>
      </c>
      <c r="C9" s="5"/>
      <c r="D9" s="5"/>
      <c r="E9" s="5"/>
      <c r="F9" s="5"/>
    </row>
    <row r="10" customFormat="false" ht="30" hidden="false" customHeight="true" outlineLevel="0" collapsed="false">
      <c r="A10" s="4" t="s">
        <v>14</v>
      </c>
      <c r="B10" s="5" t="s">
        <v>15</v>
      </c>
      <c r="C10" s="5"/>
      <c r="D10" s="5"/>
      <c r="E10" s="5"/>
      <c r="F10" s="5"/>
    </row>
    <row r="12" customFormat="false" ht="21.75" hidden="false" customHeight="true" outlineLevel="0" collapsed="false">
      <c r="A12" s="6" t="s">
        <v>16</v>
      </c>
      <c r="B12" s="6"/>
      <c r="C12" s="6"/>
      <c r="D12" s="6"/>
      <c r="E12" s="6"/>
      <c r="F12" s="6"/>
    </row>
    <row r="13" customFormat="false" ht="25.5" hidden="false" customHeight="true" outlineLevel="0" collapsed="false">
      <c r="A13" s="7" t="s">
        <v>17</v>
      </c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</row>
    <row r="14" customFormat="false" ht="23.25" hidden="false" customHeight="true" outlineLevel="0" collapsed="false">
      <c r="A14" s="8" t="s">
        <v>23</v>
      </c>
      <c r="B14" s="9" t="s">
        <v>24</v>
      </c>
      <c r="C14" s="9" t="s">
        <v>25</v>
      </c>
      <c r="D14" s="9" t="s">
        <v>26</v>
      </c>
      <c r="E14" s="8" t="s">
        <v>27</v>
      </c>
      <c r="F14" s="8" t="s">
        <v>28</v>
      </c>
    </row>
    <row r="15" customFormat="false" ht="15" hidden="false" customHeight="true" outlineLevel="0" collapsed="false">
      <c r="A15" s="10" t="s">
        <v>29</v>
      </c>
      <c r="B15" s="11" t="s">
        <v>30</v>
      </c>
      <c r="C15" s="11" t="s">
        <v>31</v>
      </c>
      <c r="D15" s="11" t="s">
        <v>32</v>
      </c>
      <c r="E15" s="10" t="s">
        <v>33</v>
      </c>
      <c r="F15" s="10" t="s">
        <v>34</v>
      </c>
    </row>
    <row r="16" customFormat="false" ht="15" hidden="false" customHeight="true" outlineLevel="0" collapsed="false">
      <c r="A16" s="8" t="s">
        <v>35</v>
      </c>
      <c r="B16" s="9" t="s">
        <v>36</v>
      </c>
      <c r="C16" s="9" t="s">
        <v>37</v>
      </c>
      <c r="D16" s="9" t="s">
        <v>32</v>
      </c>
      <c r="E16" s="8" t="s">
        <v>38</v>
      </c>
      <c r="F16" s="8" t="s">
        <v>39</v>
      </c>
    </row>
    <row r="17" customFormat="false" ht="23.25" hidden="false" customHeight="true" outlineLevel="0" collapsed="false">
      <c r="A17" s="10" t="s">
        <v>40</v>
      </c>
      <c r="B17" s="11" t="s">
        <v>41</v>
      </c>
      <c r="C17" s="11" t="s">
        <v>42</v>
      </c>
      <c r="D17" s="11" t="s">
        <v>32</v>
      </c>
      <c r="E17" s="10" t="s">
        <v>43</v>
      </c>
      <c r="F17" s="10" t="s">
        <v>44</v>
      </c>
    </row>
    <row r="18" customFormat="false" ht="15" hidden="false" customHeight="true" outlineLevel="0" collapsed="false">
      <c r="A18" s="8" t="s">
        <v>45</v>
      </c>
      <c r="B18" s="9" t="s">
        <v>46</v>
      </c>
      <c r="C18" s="9" t="s">
        <v>47</v>
      </c>
      <c r="D18" s="9" t="s">
        <v>48</v>
      </c>
      <c r="E18" s="8" t="s">
        <v>49</v>
      </c>
      <c r="F18" s="8" t="s">
        <v>50</v>
      </c>
    </row>
    <row r="19" customFormat="false" ht="15" hidden="false" customHeight="true" outlineLevel="0" collapsed="false">
      <c r="A19" s="10" t="s">
        <v>51</v>
      </c>
      <c r="B19" s="11" t="s">
        <v>52</v>
      </c>
      <c r="C19" s="11" t="s">
        <v>53</v>
      </c>
      <c r="D19" s="11" t="s">
        <v>32</v>
      </c>
      <c r="E19" s="10" t="s">
        <v>38</v>
      </c>
      <c r="F19" s="10" t="s">
        <v>54</v>
      </c>
    </row>
    <row r="20" customFormat="false" ht="15" hidden="false" customHeight="true" outlineLevel="0" collapsed="false">
      <c r="A20" s="8" t="s">
        <v>55</v>
      </c>
      <c r="B20" s="9" t="s">
        <v>56</v>
      </c>
      <c r="C20" s="9" t="s">
        <v>57</v>
      </c>
      <c r="D20" s="9" t="s">
        <v>58</v>
      </c>
      <c r="E20" s="8" t="s">
        <v>59</v>
      </c>
      <c r="F20" s="8" t="s">
        <v>60</v>
      </c>
    </row>
    <row r="21" customFormat="false" ht="23.25" hidden="false" customHeight="true" outlineLevel="0" collapsed="false">
      <c r="A21" s="10" t="s">
        <v>61</v>
      </c>
      <c r="B21" s="11" t="s">
        <v>62</v>
      </c>
      <c r="C21" s="11" t="s">
        <v>63</v>
      </c>
      <c r="D21" s="11" t="s">
        <v>64</v>
      </c>
      <c r="E21" s="10" t="s">
        <v>65</v>
      </c>
      <c r="F21" s="10" t="s">
        <v>66</v>
      </c>
    </row>
  </sheetData>
  <mergeCells count="10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A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32"/>
    <col collapsed="false" customWidth="true" hidden="false" outlineLevel="0" max="5" min="5" style="1" width="34"/>
    <col collapsed="false" customWidth="true" hidden="false" outlineLevel="0" max="6" min="6" style="1" width="14"/>
  </cols>
  <sheetData>
    <row r="1" customFormat="false" ht="30" hidden="false" customHeight="true" outlineLevel="0" collapsed="false">
      <c r="A1" s="2" t="s">
        <v>67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68</v>
      </c>
      <c r="B2" s="3"/>
      <c r="C2" s="3"/>
      <c r="D2" s="3"/>
      <c r="E2" s="3"/>
      <c r="F2" s="3"/>
    </row>
    <row r="4" customFormat="false" ht="25.5" hidden="false" customHeight="true" outlineLevel="0" collapsed="false">
      <c r="A4" s="7" t="s">
        <v>17</v>
      </c>
      <c r="B4" s="7" t="s">
        <v>69</v>
      </c>
      <c r="C4" s="7" t="s">
        <v>70</v>
      </c>
      <c r="D4" s="7" t="s">
        <v>71</v>
      </c>
      <c r="E4" s="7" t="s">
        <v>72</v>
      </c>
      <c r="F4" s="7" t="s">
        <v>73</v>
      </c>
    </row>
    <row r="5" customFormat="false" ht="78" hidden="false" customHeight="true" outlineLevel="0" collapsed="false">
      <c r="A5" s="8" t="s">
        <v>74</v>
      </c>
      <c r="B5" s="9" t="s">
        <v>25</v>
      </c>
      <c r="C5" s="8" t="s">
        <v>75</v>
      </c>
      <c r="D5" s="8" t="s">
        <v>76</v>
      </c>
      <c r="E5" s="8" t="s">
        <v>77</v>
      </c>
      <c r="F5" s="12" t="s">
        <v>78</v>
      </c>
    </row>
    <row r="6" customFormat="false" ht="78" hidden="false" customHeight="true" outlineLevel="0" collapsed="false">
      <c r="A6" s="10" t="s">
        <v>29</v>
      </c>
      <c r="B6" s="11" t="s">
        <v>31</v>
      </c>
      <c r="C6" s="10" t="s">
        <v>79</v>
      </c>
      <c r="D6" s="10" t="s">
        <v>80</v>
      </c>
      <c r="E6" s="10" t="s">
        <v>81</v>
      </c>
      <c r="F6" s="12" t="s">
        <v>78</v>
      </c>
    </row>
    <row r="7" customFormat="false" ht="78" hidden="false" customHeight="true" outlineLevel="0" collapsed="false">
      <c r="A7" s="8" t="s">
        <v>45</v>
      </c>
      <c r="B7" s="9" t="s">
        <v>47</v>
      </c>
      <c r="C7" s="8" t="s">
        <v>82</v>
      </c>
      <c r="D7" s="8" t="s">
        <v>83</v>
      </c>
      <c r="E7" s="8" t="s">
        <v>84</v>
      </c>
      <c r="F7" s="12" t="s">
        <v>78</v>
      </c>
    </row>
    <row r="8" customFormat="false" ht="78" hidden="false" customHeight="true" outlineLevel="0" collapsed="false">
      <c r="A8" s="10" t="s">
        <v>51</v>
      </c>
      <c r="B8" s="11" t="s">
        <v>53</v>
      </c>
      <c r="C8" s="10" t="s">
        <v>85</v>
      </c>
      <c r="D8" s="10" t="s">
        <v>86</v>
      </c>
      <c r="E8" s="10" t="s">
        <v>87</v>
      </c>
      <c r="F8" s="12" t="s">
        <v>78</v>
      </c>
    </row>
    <row r="9" customFormat="false" ht="78" hidden="false" customHeight="true" outlineLevel="0" collapsed="false">
      <c r="A9" s="8" t="s">
        <v>55</v>
      </c>
      <c r="B9" s="9" t="s">
        <v>88</v>
      </c>
      <c r="C9" s="8" t="s">
        <v>89</v>
      </c>
      <c r="D9" s="8" t="s">
        <v>90</v>
      </c>
      <c r="E9" s="8" t="s">
        <v>91</v>
      </c>
      <c r="F9" s="12" t="s">
        <v>78</v>
      </c>
    </row>
    <row r="10" customFormat="false" ht="78" hidden="false" customHeight="true" outlineLevel="0" collapsed="false">
      <c r="A10" s="10" t="s">
        <v>92</v>
      </c>
      <c r="B10" s="11" t="s">
        <v>93</v>
      </c>
      <c r="C10" s="10" t="s">
        <v>94</v>
      </c>
      <c r="D10" s="10" t="s">
        <v>95</v>
      </c>
      <c r="E10" s="10" t="s">
        <v>96</v>
      </c>
      <c r="F10" s="12" t="s">
        <v>78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26"/>
    <col collapsed="false" customWidth="true" hidden="false" outlineLevel="0" max="7" min="7" style="1" width="40"/>
  </cols>
  <sheetData>
    <row r="1" customFormat="false" ht="30" hidden="false" customHeight="true" outlineLevel="0" collapsed="false">
      <c r="A1" s="2" t="s">
        <v>97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98</v>
      </c>
      <c r="B2" s="3"/>
      <c r="C2" s="3"/>
      <c r="D2" s="3"/>
      <c r="E2" s="3"/>
      <c r="F2" s="3"/>
      <c r="G2" s="3"/>
    </row>
    <row r="4" customFormat="false" ht="25.5" hidden="false" customHeight="true" outlineLevel="0" collapsed="false">
      <c r="A4" s="7" t="s">
        <v>99</v>
      </c>
      <c r="B4" s="7" t="s">
        <v>100</v>
      </c>
      <c r="C4" s="7" t="s">
        <v>101</v>
      </c>
      <c r="D4" s="7" t="s">
        <v>102</v>
      </c>
      <c r="E4" s="7" t="s">
        <v>103</v>
      </c>
      <c r="F4" s="7" t="s">
        <v>104</v>
      </c>
      <c r="G4" s="7" t="s">
        <v>22</v>
      </c>
    </row>
    <row r="5" customFormat="false" ht="33.75" hidden="false" customHeight="true" outlineLevel="0" collapsed="false">
      <c r="A5" s="8" t="s">
        <v>105</v>
      </c>
      <c r="B5" s="9" t="s">
        <v>106</v>
      </c>
      <c r="C5" s="9" t="s">
        <v>107</v>
      </c>
      <c r="D5" s="12" t="s">
        <v>108</v>
      </c>
      <c r="E5" s="9" t="s">
        <v>109</v>
      </c>
      <c r="F5" s="9" t="s">
        <v>110</v>
      </c>
      <c r="G5" s="8" t="s">
        <v>111</v>
      </c>
    </row>
    <row r="6" customFormat="false" ht="33.75" hidden="false" customHeight="true" outlineLevel="0" collapsed="false">
      <c r="A6" s="10" t="s">
        <v>112</v>
      </c>
      <c r="B6" s="11" t="s">
        <v>113</v>
      </c>
      <c r="C6" s="11" t="s">
        <v>114</v>
      </c>
      <c r="D6" s="12" t="s">
        <v>108</v>
      </c>
      <c r="E6" s="11" t="s">
        <v>115</v>
      </c>
      <c r="F6" s="11" t="s">
        <v>116</v>
      </c>
      <c r="G6" s="10" t="s">
        <v>117</v>
      </c>
    </row>
    <row r="7" customFormat="false" ht="33.75" hidden="false" customHeight="true" outlineLevel="0" collapsed="false">
      <c r="A7" s="8" t="s">
        <v>29</v>
      </c>
      <c r="B7" s="9" t="s">
        <v>118</v>
      </c>
      <c r="C7" s="9" t="s">
        <v>119</v>
      </c>
      <c r="D7" s="13" t="s">
        <v>120</v>
      </c>
      <c r="E7" s="9" t="s">
        <v>121</v>
      </c>
      <c r="F7" s="9" t="s">
        <v>122</v>
      </c>
      <c r="G7" s="8" t="s">
        <v>123</v>
      </c>
    </row>
    <row r="8" customFormat="false" ht="33.75" hidden="false" customHeight="true" outlineLevel="0" collapsed="false">
      <c r="A8" s="10" t="s">
        <v>35</v>
      </c>
      <c r="B8" s="11" t="s">
        <v>124</v>
      </c>
      <c r="C8" s="11" t="s">
        <v>119</v>
      </c>
      <c r="D8" s="13" t="s">
        <v>120</v>
      </c>
      <c r="E8" s="11" t="s">
        <v>125</v>
      </c>
      <c r="F8" s="11" t="s">
        <v>126</v>
      </c>
      <c r="G8" s="10" t="s">
        <v>127</v>
      </c>
    </row>
    <row r="9" customFormat="false" ht="33.75" hidden="false" customHeight="true" outlineLevel="0" collapsed="false">
      <c r="A9" s="8" t="s">
        <v>40</v>
      </c>
      <c r="B9" s="9" t="s">
        <v>128</v>
      </c>
      <c r="C9" s="9" t="s">
        <v>129</v>
      </c>
      <c r="D9" s="13" t="s">
        <v>120</v>
      </c>
      <c r="E9" s="9" t="s">
        <v>130</v>
      </c>
      <c r="F9" s="9" t="s">
        <v>131</v>
      </c>
      <c r="G9" s="8" t="s">
        <v>132</v>
      </c>
    </row>
    <row r="10" customFormat="false" ht="33.75" hidden="false" customHeight="true" outlineLevel="0" collapsed="false">
      <c r="A10" s="10" t="s">
        <v>133</v>
      </c>
      <c r="B10" s="11" t="s">
        <v>134</v>
      </c>
      <c r="C10" s="11" t="s">
        <v>135</v>
      </c>
      <c r="D10" s="13" t="s">
        <v>120</v>
      </c>
      <c r="E10" s="11" t="s">
        <v>136</v>
      </c>
      <c r="F10" s="11" t="s">
        <v>131</v>
      </c>
      <c r="G10" s="10" t="s">
        <v>137</v>
      </c>
    </row>
    <row r="11" customFormat="false" ht="33.75" hidden="false" customHeight="true" outlineLevel="0" collapsed="false">
      <c r="A11" s="8" t="s">
        <v>138</v>
      </c>
      <c r="B11" s="9" t="s">
        <v>139</v>
      </c>
      <c r="C11" s="9" t="s">
        <v>140</v>
      </c>
      <c r="D11" s="12" t="s">
        <v>108</v>
      </c>
      <c r="E11" s="9" t="s">
        <v>131</v>
      </c>
      <c r="F11" s="9" t="s">
        <v>141</v>
      </c>
      <c r="G11" s="8" t="s">
        <v>142</v>
      </c>
    </row>
    <row r="12" customFormat="false" ht="33.75" hidden="false" customHeight="true" outlineLevel="0" collapsed="false">
      <c r="A12" s="10" t="s">
        <v>143</v>
      </c>
      <c r="B12" s="11" t="s">
        <v>144</v>
      </c>
      <c r="C12" s="11" t="s">
        <v>145</v>
      </c>
      <c r="D12" s="13" t="s">
        <v>120</v>
      </c>
      <c r="E12" s="11" t="s">
        <v>146</v>
      </c>
      <c r="F12" s="11" t="s">
        <v>131</v>
      </c>
      <c r="G12" s="10" t="s">
        <v>147</v>
      </c>
    </row>
    <row r="13" customFormat="false" ht="33.75" hidden="false" customHeight="true" outlineLevel="0" collapsed="false">
      <c r="A13" s="8" t="s">
        <v>51</v>
      </c>
      <c r="B13" s="9" t="s">
        <v>148</v>
      </c>
      <c r="C13" s="9" t="s">
        <v>119</v>
      </c>
      <c r="D13" s="13" t="s">
        <v>120</v>
      </c>
      <c r="E13" s="9" t="s">
        <v>149</v>
      </c>
      <c r="F13" s="9" t="s">
        <v>131</v>
      </c>
      <c r="G13" s="8" t="s">
        <v>150</v>
      </c>
    </row>
    <row r="14" customFormat="false" ht="33.75" hidden="false" customHeight="true" outlineLevel="0" collapsed="false">
      <c r="A14" s="10" t="s">
        <v>151</v>
      </c>
      <c r="B14" s="11" t="s">
        <v>152</v>
      </c>
      <c r="C14" s="11" t="s">
        <v>153</v>
      </c>
      <c r="D14" s="13" t="s">
        <v>120</v>
      </c>
      <c r="E14" s="11" t="s">
        <v>154</v>
      </c>
      <c r="F14" s="11" t="s">
        <v>155</v>
      </c>
      <c r="G14" s="10" t="s">
        <v>156</v>
      </c>
    </row>
    <row r="15" customFormat="false" ht="33.75" hidden="false" customHeight="true" outlineLevel="0" collapsed="false">
      <c r="A15" s="8" t="s">
        <v>157</v>
      </c>
      <c r="B15" s="9" t="s">
        <v>158</v>
      </c>
      <c r="C15" s="9" t="s">
        <v>140</v>
      </c>
      <c r="D15" s="12" t="s">
        <v>108</v>
      </c>
      <c r="E15" s="9" t="s">
        <v>131</v>
      </c>
      <c r="F15" s="9" t="s">
        <v>159</v>
      </c>
      <c r="G15" s="8" t="s">
        <v>160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40"/>
    <col collapsed="false" customWidth="true" hidden="false" outlineLevel="0" max="10" min="7" style="1" width="9"/>
    <col collapsed="false" customWidth="true" hidden="false" outlineLevel="0" max="11" min="11" style="1" width="26"/>
  </cols>
  <sheetData>
    <row r="1" customFormat="false" ht="30" hidden="false" customHeight="true" outlineLevel="0" collapsed="false">
      <c r="A1" s="2" t="s">
        <v>161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.75" hidden="false" customHeight="true" outlineLevel="0" collapsed="false">
      <c r="A2" s="3" t="s">
        <v>162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25.5" hidden="false" customHeight="true" outlineLevel="0" collapsed="false">
      <c r="A4" s="7" t="s">
        <v>163</v>
      </c>
      <c r="B4" s="7" t="s">
        <v>164</v>
      </c>
      <c r="C4" s="7" t="s">
        <v>165</v>
      </c>
      <c r="D4" s="7" t="s">
        <v>166</v>
      </c>
      <c r="E4" s="7" t="s">
        <v>167</v>
      </c>
      <c r="F4" s="7" t="s">
        <v>168</v>
      </c>
      <c r="G4" s="7" t="s">
        <v>169</v>
      </c>
      <c r="H4" s="7" t="s">
        <v>170</v>
      </c>
      <c r="I4" s="7" t="s">
        <v>171</v>
      </c>
      <c r="J4" s="7" t="s">
        <v>172</v>
      </c>
      <c r="K4" s="7" t="s">
        <v>22</v>
      </c>
    </row>
    <row r="5" customFormat="false" ht="51.75" hidden="false" customHeight="true" outlineLevel="0" collapsed="false">
      <c r="A5" s="9" t="s">
        <v>173</v>
      </c>
      <c r="B5" s="8" t="s">
        <v>174</v>
      </c>
      <c r="C5" s="9" t="s">
        <v>175</v>
      </c>
      <c r="D5" s="9" t="n">
        <v>3</v>
      </c>
      <c r="E5" s="12" t="s">
        <v>78</v>
      </c>
      <c r="F5" s="8" t="s">
        <v>176</v>
      </c>
      <c r="G5" s="14" t="s">
        <v>177</v>
      </c>
      <c r="H5" s="8"/>
      <c r="I5" s="8"/>
      <c r="J5" s="8"/>
      <c r="K5" s="8" t="s">
        <v>178</v>
      </c>
    </row>
    <row r="6" customFormat="false" ht="51.75" hidden="false" customHeight="true" outlineLevel="0" collapsed="false">
      <c r="A6" s="9" t="s">
        <v>179</v>
      </c>
      <c r="B6" s="8" t="s">
        <v>180</v>
      </c>
      <c r="C6" s="9" t="s">
        <v>175</v>
      </c>
      <c r="D6" s="9" t="n">
        <v>8</v>
      </c>
      <c r="E6" s="12" t="s">
        <v>78</v>
      </c>
      <c r="F6" s="8" t="s">
        <v>181</v>
      </c>
      <c r="G6" s="14" t="s">
        <v>177</v>
      </c>
      <c r="H6" s="8"/>
      <c r="I6" s="8"/>
      <c r="J6" s="8"/>
      <c r="K6" s="8" t="s">
        <v>182</v>
      </c>
    </row>
    <row r="7" customFormat="false" ht="51.75" hidden="false" customHeight="true" outlineLevel="0" collapsed="false">
      <c r="A7" s="9" t="s">
        <v>183</v>
      </c>
      <c r="B7" s="8" t="s">
        <v>184</v>
      </c>
      <c r="C7" s="9" t="s">
        <v>185</v>
      </c>
      <c r="D7" s="9" t="n">
        <v>4</v>
      </c>
      <c r="E7" s="12" t="s">
        <v>78</v>
      </c>
      <c r="F7" s="8" t="s">
        <v>186</v>
      </c>
      <c r="G7" s="14" t="s">
        <v>177</v>
      </c>
      <c r="H7" s="8"/>
      <c r="I7" s="8"/>
      <c r="J7" s="8"/>
      <c r="K7" s="8" t="s">
        <v>187</v>
      </c>
    </row>
    <row r="8" customFormat="false" ht="51.75" hidden="false" customHeight="true" outlineLevel="0" collapsed="false">
      <c r="A8" s="9" t="s">
        <v>188</v>
      </c>
      <c r="B8" s="8" t="s">
        <v>189</v>
      </c>
      <c r="C8" s="9" t="s">
        <v>175</v>
      </c>
      <c r="D8" s="9" t="n">
        <v>6</v>
      </c>
      <c r="E8" s="12" t="s">
        <v>78</v>
      </c>
      <c r="F8" s="8" t="s">
        <v>190</v>
      </c>
      <c r="G8" s="14" t="s">
        <v>177</v>
      </c>
      <c r="H8" s="8"/>
      <c r="I8" s="8"/>
      <c r="J8" s="8"/>
      <c r="K8" s="8" t="s">
        <v>191</v>
      </c>
    </row>
    <row r="9" customFormat="false" ht="51.75" hidden="false" customHeight="true" outlineLevel="0" collapsed="false">
      <c r="A9" s="9" t="s">
        <v>192</v>
      </c>
      <c r="B9" s="8" t="s">
        <v>193</v>
      </c>
      <c r="C9" s="9" t="s">
        <v>194</v>
      </c>
      <c r="D9" s="9" t="n">
        <v>12</v>
      </c>
      <c r="E9" s="15" t="s">
        <v>195</v>
      </c>
      <c r="F9" s="8" t="s">
        <v>196</v>
      </c>
      <c r="G9" s="16" t="s">
        <v>177</v>
      </c>
      <c r="H9" s="16" t="s">
        <v>177</v>
      </c>
      <c r="I9" s="8"/>
      <c r="J9" s="8"/>
      <c r="K9" s="8" t="s">
        <v>197</v>
      </c>
    </row>
    <row r="10" customFormat="false" ht="51.75" hidden="false" customHeight="true" outlineLevel="0" collapsed="false">
      <c r="A10" s="9" t="s">
        <v>198</v>
      </c>
      <c r="B10" s="8" t="s">
        <v>199</v>
      </c>
      <c r="C10" s="9" t="s">
        <v>175</v>
      </c>
      <c r="D10" s="9" t="n">
        <v>15</v>
      </c>
      <c r="E10" s="13" t="s">
        <v>200</v>
      </c>
      <c r="F10" s="8" t="s">
        <v>201</v>
      </c>
      <c r="G10" s="8"/>
      <c r="H10" s="17" t="s">
        <v>177</v>
      </c>
      <c r="I10" s="17" t="s">
        <v>177</v>
      </c>
      <c r="J10" s="8"/>
      <c r="K10" s="8" t="s">
        <v>202</v>
      </c>
    </row>
    <row r="11" customFormat="false" ht="51.75" hidden="false" customHeight="true" outlineLevel="0" collapsed="false">
      <c r="A11" s="9" t="s">
        <v>203</v>
      </c>
      <c r="B11" s="8" t="s">
        <v>204</v>
      </c>
      <c r="C11" s="9" t="s">
        <v>175</v>
      </c>
      <c r="D11" s="9" t="n">
        <v>4</v>
      </c>
      <c r="E11" s="15" t="s">
        <v>195</v>
      </c>
      <c r="F11" s="8" t="s">
        <v>205</v>
      </c>
      <c r="G11" s="8"/>
      <c r="H11" s="8"/>
      <c r="I11" s="16" t="s">
        <v>177</v>
      </c>
      <c r="J11" s="8"/>
      <c r="K11" s="8" t="s">
        <v>206</v>
      </c>
    </row>
    <row r="12" customFormat="false" ht="51.75" hidden="false" customHeight="true" outlineLevel="0" collapsed="false">
      <c r="A12" s="9" t="s">
        <v>207</v>
      </c>
      <c r="B12" s="8" t="s">
        <v>208</v>
      </c>
      <c r="C12" s="9" t="s">
        <v>175</v>
      </c>
      <c r="D12" s="9" t="s">
        <v>209</v>
      </c>
      <c r="E12" s="13" t="s">
        <v>210</v>
      </c>
      <c r="F12" s="8" t="s">
        <v>211</v>
      </c>
      <c r="G12" s="16" t="s">
        <v>177</v>
      </c>
      <c r="H12" s="16" t="s">
        <v>177</v>
      </c>
      <c r="I12" s="16" t="s">
        <v>177</v>
      </c>
      <c r="J12" s="16" t="s">
        <v>177</v>
      </c>
      <c r="K12" s="8" t="s">
        <v>212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3" min="3" style="1" width="18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7" min="7" style="1" width="34"/>
  </cols>
  <sheetData>
    <row r="1" customFormat="false" ht="30" hidden="false" customHeight="true" outlineLevel="0" collapsed="false">
      <c r="A1" s="2" t="s">
        <v>213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214</v>
      </c>
      <c r="B2" s="3"/>
      <c r="C2" s="3"/>
      <c r="D2" s="3"/>
      <c r="E2" s="3"/>
      <c r="F2" s="3"/>
      <c r="G2" s="3"/>
    </row>
    <row r="4" customFormat="false" ht="25.5" hidden="false" customHeight="true" outlineLevel="0" collapsed="false">
      <c r="A4" s="7" t="s">
        <v>163</v>
      </c>
      <c r="B4" s="7" t="s">
        <v>164</v>
      </c>
      <c r="C4" s="7" t="s">
        <v>215</v>
      </c>
      <c r="D4" s="7" t="s">
        <v>216</v>
      </c>
      <c r="E4" s="7" t="s">
        <v>166</v>
      </c>
      <c r="F4" s="7" t="s">
        <v>167</v>
      </c>
      <c r="G4" s="7" t="s">
        <v>22</v>
      </c>
    </row>
    <row r="5" customFormat="false" ht="15" hidden="false" customHeight="true" outlineLevel="0" collapsed="false">
      <c r="A5" s="9" t="s">
        <v>173</v>
      </c>
      <c r="B5" s="8" t="s">
        <v>217</v>
      </c>
      <c r="C5" s="8" t="s">
        <v>218</v>
      </c>
      <c r="D5" s="18" t="s">
        <v>219</v>
      </c>
      <c r="E5" s="9" t="n">
        <v>3</v>
      </c>
      <c r="F5" s="12" t="s">
        <v>78</v>
      </c>
      <c r="G5" s="8" t="s">
        <v>220</v>
      </c>
    </row>
    <row r="6" customFormat="false" ht="23.25" hidden="false" customHeight="true" outlineLevel="0" collapsed="false">
      <c r="A6" s="11" t="s">
        <v>179</v>
      </c>
      <c r="B6" s="10" t="s">
        <v>221</v>
      </c>
      <c r="C6" s="10" t="s">
        <v>175</v>
      </c>
      <c r="D6" s="18" t="s">
        <v>219</v>
      </c>
      <c r="E6" s="11" t="n">
        <v>2</v>
      </c>
      <c r="F6" s="12" t="s">
        <v>78</v>
      </c>
      <c r="G6" s="10" t="s">
        <v>222</v>
      </c>
    </row>
    <row r="7" customFormat="false" ht="23.25" hidden="false" customHeight="true" outlineLevel="0" collapsed="false">
      <c r="A7" s="9" t="s">
        <v>179</v>
      </c>
      <c r="B7" s="8" t="s">
        <v>223</v>
      </c>
      <c r="C7" s="8" t="s">
        <v>175</v>
      </c>
      <c r="D7" s="18" t="s">
        <v>219</v>
      </c>
      <c r="E7" s="9" t="n">
        <v>2</v>
      </c>
      <c r="F7" s="12" t="s">
        <v>78</v>
      </c>
      <c r="G7" s="8" t="s">
        <v>224</v>
      </c>
    </row>
    <row r="8" customFormat="false" ht="23.25" hidden="false" customHeight="true" outlineLevel="0" collapsed="false">
      <c r="A8" s="11" t="s">
        <v>179</v>
      </c>
      <c r="B8" s="10" t="s">
        <v>225</v>
      </c>
      <c r="C8" s="10" t="s">
        <v>175</v>
      </c>
      <c r="D8" s="19" t="s">
        <v>226</v>
      </c>
      <c r="E8" s="11" t="n">
        <v>3</v>
      </c>
      <c r="F8" s="12" t="s">
        <v>78</v>
      </c>
      <c r="G8" s="10" t="s">
        <v>227</v>
      </c>
    </row>
    <row r="9" customFormat="false" ht="23.25" hidden="false" customHeight="true" outlineLevel="0" collapsed="false">
      <c r="A9" s="9" t="s">
        <v>179</v>
      </c>
      <c r="B9" s="8" t="s">
        <v>228</v>
      </c>
      <c r="C9" s="8" t="s">
        <v>175</v>
      </c>
      <c r="D9" s="12" t="s">
        <v>229</v>
      </c>
      <c r="E9" s="9" t="n">
        <v>1</v>
      </c>
      <c r="F9" s="12" t="s">
        <v>78</v>
      </c>
      <c r="G9" s="8" t="s">
        <v>230</v>
      </c>
    </row>
    <row r="10" customFormat="false" ht="15" hidden="false" customHeight="true" outlineLevel="0" collapsed="false">
      <c r="A10" s="11" t="s">
        <v>183</v>
      </c>
      <c r="B10" s="10" t="s">
        <v>231</v>
      </c>
      <c r="C10" s="10" t="s">
        <v>185</v>
      </c>
      <c r="D10" s="12" t="s">
        <v>229</v>
      </c>
      <c r="E10" s="11" t="n">
        <v>2</v>
      </c>
      <c r="F10" s="12" t="s">
        <v>78</v>
      </c>
      <c r="G10" s="10" t="s">
        <v>27</v>
      </c>
    </row>
    <row r="11" customFormat="false" ht="15" hidden="false" customHeight="true" outlineLevel="0" collapsed="false">
      <c r="A11" s="9" t="s">
        <v>183</v>
      </c>
      <c r="B11" s="8" t="s">
        <v>232</v>
      </c>
      <c r="C11" s="8" t="s">
        <v>233</v>
      </c>
      <c r="D11" s="12" t="s">
        <v>229</v>
      </c>
      <c r="E11" s="9" t="n">
        <v>2</v>
      </c>
      <c r="F11" s="12" t="s">
        <v>78</v>
      </c>
      <c r="G11" s="8" t="s">
        <v>234</v>
      </c>
    </row>
    <row r="12" customFormat="false" ht="23.25" hidden="false" customHeight="true" outlineLevel="0" collapsed="false">
      <c r="A12" s="11" t="s">
        <v>188</v>
      </c>
      <c r="B12" s="10" t="s">
        <v>235</v>
      </c>
      <c r="C12" s="10" t="s">
        <v>236</v>
      </c>
      <c r="D12" s="18" t="s">
        <v>219</v>
      </c>
      <c r="E12" s="11" t="n">
        <v>3</v>
      </c>
      <c r="F12" s="12" t="s">
        <v>78</v>
      </c>
      <c r="G12" s="10" t="s">
        <v>237</v>
      </c>
    </row>
    <row r="13" customFormat="false" ht="15" hidden="false" customHeight="true" outlineLevel="0" collapsed="false">
      <c r="A13" s="9" t="s">
        <v>188</v>
      </c>
      <c r="B13" s="8" t="s">
        <v>238</v>
      </c>
      <c r="C13" s="8" t="s">
        <v>233</v>
      </c>
      <c r="D13" s="18" t="s">
        <v>219</v>
      </c>
      <c r="E13" s="9" t="n">
        <v>3</v>
      </c>
      <c r="F13" s="12" t="s">
        <v>78</v>
      </c>
      <c r="G13" s="8" t="s">
        <v>239</v>
      </c>
    </row>
    <row r="14" customFormat="false" ht="15" hidden="false" customHeight="true" outlineLevel="0" collapsed="false">
      <c r="A14" s="11" t="s">
        <v>192</v>
      </c>
      <c r="B14" s="10" t="s">
        <v>240</v>
      </c>
      <c r="C14" s="10" t="s">
        <v>185</v>
      </c>
      <c r="D14" s="18" t="s">
        <v>219</v>
      </c>
      <c r="E14" s="11" t="n">
        <v>12</v>
      </c>
      <c r="F14" s="15" t="s">
        <v>195</v>
      </c>
      <c r="G14" s="10" t="s">
        <v>241</v>
      </c>
    </row>
    <row r="15" customFormat="false" ht="23.25" hidden="false" customHeight="true" outlineLevel="0" collapsed="false">
      <c r="A15" s="9" t="s">
        <v>198</v>
      </c>
      <c r="B15" s="8" t="s">
        <v>242</v>
      </c>
      <c r="C15" s="8" t="s">
        <v>243</v>
      </c>
      <c r="D15" s="18" t="s">
        <v>219</v>
      </c>
      <c r="E15" s="9" t="n">
        <v>3</v>
      </c>
      <c r="F15" s="12" t="s">
        <v>78</v>
      </c>
      <c r="G15" s="8" t="s">
        <v>244</v>
      </c>
    </row>
    <row r="16" customFormat="false" ht="23.25" hidden="false" customHeight="true" outlineLevel="0" collapsed="false">
      <c r="A16" s="11" t="s">
        <v>198</v>
      </c>
      <c r="B16" s="10" t="s">
        <v>245</v>
      </c>
      <c r="C16" s="10" t="s">
        <v>243</v>
      </c>
      <c r="D16" s="19" t="s">
        <v>226</v>
      </c>
      <c r="E16" s="11" t="n">
        <v>6</v>
      </c>
      <c r="F16" s="12" t="s">
        <v>78</v>
      </c>
      <c r="G16" s="10" t="s">
        <v>246</v>
      </c>
    </row>
    <row r="17" customFormat="false" ht="45.75" hidden="false" customHeight="true" outlineLevel="0" collapsed="false">
      <c r="A17" s="9" t="s">
        <v>198</v>
      </c>
      <c r="B17" s="8" t="s">
        <v>247</v>
      </c>
      <c r="C17" s="8" t="s">
        <v>243</v>
      </c>
      <c r="D17" s="19" t="s">
        <v>226</v>
      </c>
      <c r="E17" s="9" t="n">
        <v>4</v>
      </c>
      <c r="F17" s="15" t="s">
        <v>195</v>
      </c>
      <c r="G17" s="8" t="s">
        <v>248</v>
      </c>
    </row>
    <row r="18" customFormat="false" ht="34.5" hidden="false" customHeight="true" outlineLevel="0" collapsed="false">
      <c r="A18" s="11" t="s">
        <v>198</v>
      </c>
      <c r="B18" s="10" t="s">
        <v>249</v>
      </c>
      <c r="C18" s="10" t="s">
        <v>243</v>
      </c>
      <c r="D18" s="18" t="s">
        <v>219</v>
      </c>
      <c r="E18" s="11" t="n">
        <v>2</v>
      </c>
      <c r="F18" s="12" t="s">
        <v>78</v>
      </c>
      <c r="G18" s="10" t="s">
        <v>250</v>
      </c>
    </row>
    <row r="19" customFormat="false" ht="23.25" hidden="false" customHeight="true" outlineLevel="0" collapsed="false">
      <c r="A19" s="9" t="s">
        <v>203</v>
      </c>
      <c r="B19" s="8" t="s">
        <v>251</v>
      </c>
      <c r="C19" s="8" t="s">
        <v>233</v>
      </c>
      <c r="D19" s="12" t="s">
        <v>229</v>
      </c>
      <c r="E19" s="9" t="n">
        <v>2</v>
      </c>
      <c r="F19" s="15" t="s">
        <v>195</v>
      </c>
      <c r="G19" s="8" t="s">
        <v>252</v>
      </c>
    </row>
    <row r="20" customFormat="false" ht="15" hidden="false" customHeight="true" outlineLevel="0" collapsed="false">
      <c r="A20" s="11" t="s">
        <v>203</v>
      </c>
      <c r="B20" s="10" t="s">
        <v>253</v>
      </c>
      <c r="C20" s="10" t="s">
        <v>236</v>
      </c>
      <c r="D20" s="12" t="s">
        <v>229</v>
      </c>
      <c r="E20" s="11" t="n">
        <v>2</v>
      </c>
      <c r="F20" s="15" t="s">
        <v>195</v>
      </c>
      <c r="G20" s="10" t="s">
        <v>206</v>
      </c>
    </row>
    <row r="22" customFormat="false" ht="15" hidden="false" customHeight="true" outlineLevel="0" collapsed="false">
      <c r="A22" s="20" t="s">
        <v>254</v>
      </c>
      <c r="B22" s="20"/>
      <c r="C22" s="20"/>
      <c r="D22" s="20"/>
      <c r="E22" s="21" t="n">
        <f aca="false">SUMIF(F5:F20,"Tamamlandı",E5:E20)</f>
        <v>32</v>
      </c>
      <c r="F22" s="22"/>
      <c r="G22" s="22"/>
    </row>
    <row r="23" customFormat="false" ht="15" hidden="false" customHeight="true" outlineLevel="0" collapsed="false">
      <c r="A23" s="23" t="s">
        <v>255</v>
      </c>
      <c r="B23" s="23"/>
      <c r="C23" s="23"/>
      <c r="D23" s="23"/>
      <c r="E23" s="24" t="n">
        <f aca="false">SUMIF(F5:F20,"Planlandı",E5:E20)</f>
        <v>20</v>
      </c>
      <c r="F23" s="22"/>
      <c r="G23" s="22"/>
    </row>
    <row r="24" customFormat="false" ht="15" hidden="false" customHeight="true" outlineLevel="0" collapsed="false">
      <c r="A24" s="25" t="s">
        <v>256</v>
      </c>
      <c r="B24" s="25"/>
      <c r="C24" s="25"/>
      <c r="D24" s="25"/>
      <c r="E24" s="26" t="n">
        <f aca="false">SUM(E5:E20)</f>
        <v>52</v>
      </c>
      <c r="F24" s="22"/>
      <c r="G24" s="22"/>
    </row>
  </sheetData>
  <mergeCells count="5">
    <mergeCell ref="A1:G1"/>
    <mergeCell ref="A2:G2"/>
    <mergeCell ref="A22:D22"/>
    <mergeCell ref="A23:D23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52"/>
    <col collapsed="false" customWidth="true" hidden="false" outlineLevel="0" max="5" min="5" style="1" width="30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10"/>
  </cols>
  <sheetData>
    <row r="1" customFormat="false" ht="30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</row>
    <row r="4" customFormat="false" ht="25.5" hidden="false" customHeight="true" outlineLevel="0" collapsed="false">
      <c r="A4" s="7" t="s">
        <v>259</v>
      </c>
      <c r="B4" s="7" t="s">
        <v>260</v>
      </c>
      <c r="C4" s="7" t="s">
        <v>261</v>
      </c>
      <c r="D4" s="7" t="s">
        <v>262</v>
      </c>
      <c r="E4" s="7" t="s">
        <v>263</v>
      </c>
      <c r="F4" s="7" t="s">
        <v>264</v>
      </c>
      <c r="G4" s="7" t="s">
        <v>265</v>
      </c>
      <c r="H4" s="7" t="s">
        <v>166</v>
      </c>
    </row>
    <row r="5" customFormat="false" ht="66" hidden="false" customHeight="true" outlineLevel="0" collapsed="false">
      <c r="A5" s="8" t="s">
        <v>266</v>
      </c>
      <c r="B5" s="9" t="s">
        <v>267</v>
      </c>
      <c r="C5" s="27" t="s">
        <v>268</v>
      </c>
      <c r="D5" s="8" t="s">
        <v>269</v>
      </c>
      <c r="E5" s="8" t="s">
        <v>270</v>
      </c>
      <c r="F5" s="19" t="s">
        <v>271</v>
      </c>
      <c r="G5" s="9" t="s">
        <v>170</v>
      </c>
      <c r="H5" s="9" t="n">
        <v>9</v>
      </c>
    </row>
    <row r="6" customFormat="false" ht="66" hidden="false" customHeight="true" outlineLevel="0" collapsed="false">
      <c r="A6" s="10" t="s">
        <v>272</v>
      </c>
      <c r="B6" s="11" t="s">
        <v>267</v>
      </c>
      <c r="C6" s="27" t="s">
        <v>268</v>
      </c>
      <c r="D6" s="10" t="s">
        <v>273</v>
      </c>
      <c r="E6" s="10" t="s">
        <v>274</v>
      </c>
      <c r="F6" s="18" t="s">
        <v>275</v>
      </c>
      <c r="G6" s="11" t="s">
        <v>171</v>
      </c>
      <c r="H6" s="11" t="n">
        <v>4</v>
      </c>
    </row>
    <row r="7" customFormat="false" ht="66" hidden="false" customHeight="true" outlineLevel="0" collapsed="false">
      <c r="A7" s="8" t="s">
        <v>276</v>
      </c>
      <c r="B7" s="9" t="s">
        <v>267</v>
      </c>
      <c r="C7" s="27" t="s">
        <v>268</v>
      </c>
      <c r="D7" s="8" t="s">
        <v>277</v>
      </c>
      <c r="E7" s="8" t="s">
        <v>278</v>
      </c>
      <c r="F7" s="19" t="s">
        <v>271</v>
      </c>
      <c r="G7" s="9" t="s">
        <v>170</v>
      </c>
      <c r="H7" s="9" t="n">
        <v>4</v>
      </c>
    </row>
    <row r="8" customFormat="false" ht="66" hidden="false" customHeight="true" outlineLevel="0" collapsed="false">
      <c r="A8" s="10" t="s">
        <v>279</v>
      </c>
      <c r="B8" s="11" t="s">
        <v>280</v>
      </c>
      <c r="C8" s="11" t="s">
        <v>281</v>
      </c>
      <c r="D8" s="10" t="s">
        <v>282</v>
      </c>
      <c r="E8" s="10" t="s">
        <v>283</v>
      </c>
      <c r="F8" s="18" t="s">
        <v>275</v>
      </c>
      <c r="G8" s="11" t="s">
        <v>171</v>
      </c>
      <c r="H8" s="11" t="n">
        <v>2</v>
      </c>
    </row>
    <row r="9" customFormat="false" ht="66" hidden="false" customHeight="true" outlineLevel="0" collapsed="false">
      <c r="A9" s="8" t="s">
        <v>284</v>
      </c>
      <c r="B9" s="9" t="s">
        <v>285</v>
      </c>
      <c r="C9" s="9" t="s">
        <v>286</v>
      </c>
      <c r="D9" s="8" t="s">
        <v>287</v>
      </c>
      <c r="E9" s="8" t="s">
        <v>288</v>
      </c>
      <c r="F9" s="13" t="s">
        <v>289</v>
      </c>
      <c r="G9" s="9" t="s">
        <v>171</v>
      </c>
      <c r="H9" s="9" t="n">
        <v>3</v>
      </c>
    </row>
    <row r="10" customFormat="false" ht="66" hidden="false" customHeight="true" outlineLevel="0" collapsed="false">
      <c r="A10" s="10" t="s">
        <v>290</v>
      </c>
      <c r="B10" s="11" t="s">
        <v>285</v>
      </c>
      <c r="C10" s="11" t="s">
        <v>286</v>
      </c>
      <c r="D10" s="10" t="s">
        <v>291</v>
      </c>
      <c r="E10" s="10" t="s">
        <v>292</v>
      </c>
      <c r="F10" s="13" t="s">
        <v>289</v>
      </c>
      <c r="G10" s="11" t="s">
        <v>172</v>
      </c>
      <c r="H10" s="11" t="n">
        <v>3</v>
      </c>
    </row>
    <row r="11" customFormat="false" ht="66" hidden="false" customHeight="true" outlineLevel="0" collapsed="false">
      <c r="A11" s="8" t="s">
        <v>293</v>
      </c>
      <c r="B11" s="9" t="s">
        <v>285</v>
      </c>
      <c r="C11" s="9" t="s">
        <v>286</v>
      </c>
      <c r="D11" s="8" t="s">
        <v>294</v>
      </c>
      <c r="E11" s="8" t="s">
        <v>131</v>
      </c>
      <c r="F11" s="13" t="s">
        <v>289</v>
      </c>
      <c r="G11" s="9" t="s">
        <v>172</v>
      </c>
      <c r="H11" s="9" t="n">
        <v>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11"/>
    <col collapsed="false" customWidth="true" hidden="false" outlineLevel="0" max="4" min="4" style="1" width="44"/>
    <col collapsed="false" customWidth="true" hidden="false" outlineLevel="0" max="5" min="5" style="1" width="36"/>
    <col collapsed="false" customWidth="true" hidden="false" outlineLevel="0" max="6" min="6" style="1" width="12"/>
  </cols>
  <sheetData>
    <row r="1" customFormat="false" ht="30" hidden="false" customHeight="true" outlineLevel="0" collapsed="false">
      <c r="A1" s="2" t="s">
        <v>295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296</v>
      </c>
      <c r="B2" s="3"/>
      <c r="C2" s="3"/>
      <c r="D2" s="3"/>
      <c r="E2" s="3"/>
      <c r="F2" s="3"/>
    </row>
    <row r="4" customFormat="false" ht="25.5" hidden="false" customHeight="true" outlineLevel="0" collapsed="false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165</v>
      </c>
    </row>
    <row r="5" customFormat="false" ht="57.75" hidden="false" customHeight="true" outlineLevel="0" collapsed="false">
      <c r="A5" s="8" t="s">
        <v>302</v>
      </c>
      <c r="B5" s="19" t="s">
        <v>226</v>
      </c>
      <c r="C5" s="18" t="s">
        <v>219</v>
      </c>
      <c r="D5" s="8" t="s">
        <v>303</v>
      </c>
      <c r="E5" s="8" t="s">
        <v>304</v>
      </c>
      <c r="F5" s="9" t="s">
        <v>175</v>
      </c>
    </row>
    <row r="6" customFormat="false" ht="57.75" hidden="false" customHeight="true" outlineLevel="0" collapsed="false">
      <c r="A6" s="10" t="s">
        <v>305</v>
      </c>
      <c r="B6" s="18" t="s">
        <v>219</v>
      </c>
      <c r="C6" s="18" t="s">
        <v>219</v>
      </c>
      <c r="D6" s="10" t="s">
        <v>306</v>
      </c>
      <c r="E6" s="10" t="s">
        <v>307</v>
      </c>
      <c r="F6" s="11" t="s">
        <v>175</v>
      </c>
    </row>
    <row r="7" customFormat="false" ht="57.75" hidden="false" customHeight="true" outlineLevel="0" collapsed="false">
      <c r="A7" s="8" t="s">
        <v>308</v>
      </c>
      <c r="B7" s="18" t="s">
        <v>219</v>
      </c>
      <c r="C7" s="18" t="s">
        <v>219</v>
      </c>
      <c r="D7" s="8" t="s">
        <v>309</v>
      </c>
      <c r="E7" s="8" t="s">
        <v>310</v>
      </c>
      <c r="F7" s="9" t="s">
        <v>175</v>
      </c>
    </row>
    <row r="8" customFormat="false" ht="57.75" hidden="false" customHeight="true" outlineLevel="0" collapsed="false">
      <c r="A8" s="10" t="s">
        <v>311</v>
      </c>
      <c r="B8" s="18" t="s">
        <v>219</v>
      </c>
      <c r="C8" s="12" t="s">
        <v>229</v>
      </c>
      <c r="D8" s="10" t="s">
        <v>312</v>
      </c>
      <c r="E8" s="10" t="s">
        <v>313</v>
      </c>
      <c r="F8" s="11" t="s">
        <v>185</v>
      </c>
    </row>
    <row r="9" customFormat="false" ht="57.75" hidden="false" customHeight="true" outlineLevel="0" collapsed="false">
      <c r="A9" s="8" t="s">
        <v>314</v>
      </c>
      <c r="B9" s="19" t="s">
        <v>226</v>
      </c>
      <c r="C9" s="18" t="s">
        <v>219</v>
      </c>
      <c r="D9" s="8" t="s">
        <v>315</v>
      </c>
      <c r="E9" s="8" t="s">
        <v>316</v>
      </c>
      <c r="F9" s="9" t="s">
        <v>175</v>
      </c>
    </row>
    <row r="10" customFormat="false" ht="57.75" hidden="false" customHeight="true" outlineLevel="0" collapsed="false">
      <c r="A10" s="10" t="s">
        <v>317</v>
      </c>
      <c r="B10" s="18" t="s">
        <v>219</v>
      </c>
      <c r="C10" s="19" t="s">
        <v>226</v>
      </c>
      <c r="D10" s="10" t="s">
        <v>318</v>
      </c>
      <c r="E10" s="10" t="s">
        <v>319</v>
      </c>
      <c r="F10" s="11" t="s">
        <v>194</v>
      </c>
    </row>
    <row r="11" customFormat="false" ht="57.75" hidden="false" customHeight="true" outlineLevel="0" collapsed="false">
      <c r="A11" s="8" t="s">
        <v>320</v>
      </c>
      <c r="B11" s="12" t="s">
        <v>229</v>
      </c>
      <c r="C11" s="18" t="s">
        <v>219</v>
      </c>
      <c r="D11" s="8" t="s">
        <v>321</v>
      </c>
      <c r="E11" s="8" t="s">
        <v>322</v>
      </c>
      <c r="F11" s="9" t="s">
        <v>175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2026-07-31T11:39:33Z</dcterms:created>
  <dc:creator>openpyxl</dc:creator>
  <dc:description/>
  <dc:language>tr-TR</dc:language>
  <cp:lastModifiedBy/>
  <dcterms:modified xsi:type="dcterms:W3CDTF">2026-10-03T19:57:38Z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